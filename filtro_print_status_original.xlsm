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armengo\Documents\01-work\10-Tatooine\45-protos\r2_LP\00-Sit_status\"/>
    </mc:Choice>
  </mc:AlternateContent>
  <bookViews>
    <workbookView xWindow="0" yWindow="37728" windowWidth="23040" windowHeight="10932"/>
  </bookViews>
  <sheets>
    <sheet name="Sheet1" sheetId="148" r:id="rId1"/>
    <sheet name="config_var" sheetId="36" r:id="rId2"/>
  </sheets>
  <definedNames>
    <definedName name="defaultFileName">config_var!#REF!</definedName>
    <definedName name="sdf">config_var!#REF!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7" i="36" l="1"/>
  <c r="J19" i="36" l="1"/>
  <c r="J18" i="36"/>
  <c r="J17" i="36"/>
  <c r="J5" i="36"/>
  <c r="J4" i="36"/>
  <c r="G20" i="36" l="1"/>
  <c r="G19" i="36"/>
  <c r="G12" i="36"/>
  <c r="G11" i="36"/>
  <c r="G5" i="36"/>
  <c r="D28" i="36"/>
  <c r="G4" i="36"/>
  <c r="D27" i="36"/>
  <c r="D20" i="36"/>
  <c r="D15" i="36"/>
  <c r="D29" i="36"/>
  <c r="D1" i="36" l="1"/>
  <c r="A1" i="36"/>
</calcChain>
</file>

<file path=xl/sharedStrings.xml><?xml version="1.0" encoding="utf-8"?>
<sst xmlns="http://schemas.openxmlformats.org/spreadsheetml/2006/main" count="122" uniqueCount="93">
  <si>
    <t xml:space="preserve">Variable </t>
  </si>
  <si>
    <t>renombrar</t>
  </si>
  <si>
    <t>defaultFileName</t>
  </si>
  <si>
    <t>MacroA</t>
  </si>
  <si>
    <t>initialCell</t>
  </si>
  <si>
    <t>A3</t>
  </si>
  <si>
    <t>nameSheetConfig</t>
  </si>
  <si>
    <t>MacroC</t>
  </si>
  <si>
    <t>MacroD</t>
  </si>
  <si>
    <t>MacroE</t>
  </si>
  <si>
    <t>MacroF</t>
  </si>
  <si>
    <t>MacroG</t>
  </si>
  <si>
    <t>Macro0</t>
  </si>
  <si>
    <t>see A1</t>
  </si>
  <si>
    <t>filtro_Print_status_dXX</t>
  </si>
  <si>
    <t>To find</t>
  </si>
  <si>
    <t>R2#</t>
  </si>
  <si>
    <t xml:space="preserve">FW </t>
  </si>
  <si>
    <t>MB1</t>
  </si>
  <si>
    <t>WR</t>
  </si>
  <si>
    <t>Tro</t>
  </si>
  <si>
    <t>PB2</t>
  </si>
  <si>
    <t>MB0</t>
  </si>
  <si>
    <t>Pri</t>
  </si>
  <si>
    <t>SheetRawData</t>
  </si>
  <si>
    <t>Raw_data</t>
  </si>
  <si>
    <t>sheetStatusUnit</t>
  </si>
  <si>
    <t>Status_unit</t>
  </si>
  <si>
    <t>Trolley</t>
  </si>
  <si>
    <t>secondFilterStart</t>
  </si>
  <si>
    <t>secondFilterEnd</t>
  </si>
  <si>
    <t>fwMoveWord</t>
  </si>
  <si>
    <t>FW</t>
  </si>
  <si>
    <t>no opera</t>
  </si>
  <si>
    <t>OPERATIVA</t>
  </si>
  <si>
    <t>NO OPERATIVA</t>
  </si>
  <si>
    <t>N.A.</t>
  </si>
  <si>
    <t>crea_hoja_status</t>
  </si>
  <si>
    <t>textMensaje</t>
  </si>
  <si>
    <t>titleMensaje</t>
  </si>
  <si>
    <t>¿Has copiado el mail?</t>
  </si>
  <si>
    <t>Advertencia</t>
  </si>
  <si>
    <t>finalColumn</t>
  </si>
  <si>
    <t>MacroB</t>
  </si>
  <si>
    <t>borrado_columnas_no_info</t>
  </si>
  <si>
    <t>borrado_filas_en_blanco</t>
  </si>
  <si>
    <t>EndRow</t>
  </si>
  <si>
    <t>borrado_filas_no_info</t>
  </si>
  <si>
    <t>listFilter1Position</t>
  </si>
  <si>
    <t>borrado_layer</t>
  </si>
  <si>
    <t>offsetColumn</t>
  </si>
  <si>
    <t>textToSubs</t>
  </si>
  <si>
    <t>FW REVISION:</t>
  </si>
  <si>
    <t>column_status</t>
  </si>
  <si>
    <t>fw_code</t>
  </si>
  <si>
    <t>filter1</t>
  </si>
  <si>
    <t>filter2</t>
  </si>
  <si>
    <t>filter3</t>
  </si>
  <si>
    <t>repa</t>
  </si>
  <si>
    <t>opera</t>
  </si>
  <si>
    <t>text2</t>
  </si>
  <si>
    <t>text1</t>
  </si>
  <si>
    <t>REPAIR</t>
  </si>
  <si>
    <t>text3</t>
  </si>
  <si>
    <t>text4</t>
  </si>
  <si>
    <t>MacroH</t>
  </si>
  <si>
    <t>dejar_name_device</t>
  </si>
  <si>
    <t>filter4</t>
  </si>
  <si>
    <t>offset1</t>
  </si>
  <si>
    <t>offset2</t>
  </si>
  <si>
    <t>offset3</t>
  </si>
  <si>
    <t>offset4</t>
  </si>
  <si>
    <t>numberletter</t>
  </si>
  <si>
    <t>MacroI</t>
  </si>
  <si>
    <t>formato</t>
  </si>
  <si>
    <t>cabecera</t>
  </si>
  <si>
    <t>device</t>
  </si>
  <si>
    <t>status</t>
  </si>
  <si>
    <t>fw release</t>
  </si>
  <si>
    <t>listHeader</t>
  </si>
  <si>
    <t>Nooperativa</t>
  </si>
  <si>
    <t>reparacion</t>
  </si>
  <si>
    <t>MacroJ</t>
  </si>
  <si>
    <t>limpieza_final</t>
  </si>
  <si>
    <t>limpieza</t>
  </si>
  <si>
    <t>TrolleyNvm</t>
  </si>
  <si>
    <t>listLimpieza</t>
  </si>
  <si>
    <t>PrintBuckets</t>
  </si>
  <si>
    <t>macro</t>
  </si>
  <si>
    <t>grabar</t>
  </si>
  <si>
    <t xml:space="preserve">crtl + q </t>
  </si>
  <si>
    <t>ejecutar filtro</t>
  </si>
  <si>
    <t>crtl + 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</si>
</sst>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8"/>
      <color theme="1"/>
      <name val="Calibri"/>
      <family val="2"/>
      <scheme val="minor"/>
    </font>
    <font>
      <sz val="11"/>
      <color theme="1"/>
      <name val="Arial Black"/>
      <family val="2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3" borderId="0" xfId="0" applyFont="1" applyFill="1" applyAlignment="1">
      <alignment horizontal="right"/>
    </xf>
    <xf numFmtId="0" fontId="3" fillId="3" borderId="0" xfId="0" applyFont="1" applyFill="1"/>
    <xf numFmtId="0" fontId="1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3" fillId="0" borderId="1" xfId="0" applyFont="1" applyBorder="1"/>
    <xf numFmtId="0" fontId="2" fillId="3" borderId="1" xfId="0" applyFont="1" applyFill="1" applyBorder="1"/>
    <xf numFmtId="0" fontId="3" fillId="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left"/>
    </xf>
    <xf numFmtId="0" fontId="3" fillId="0" borderId="0" xfId="0" applyFont="1" applyAlignment="1">
      <alignment horizontal="left"/>
    </xf>
    <xf numFmtId="0" fontId="3" fillId="4" borderId="0" xfId="0" applyFont="1" applyFill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5" fillId="0" borderId="0" xfId="0" applyFont="1" applyAlignment="1">
      <alignment horizontal="center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C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"/>
  <sheetViews>
    <sheetView tabSelected="1" workbookViewId="0"/>
  </sheetViews>
  <sheetFormatPr defaultRowHeight="14.4" x14ac:dyDescent="0.3"/>
  <sheetData>
    <row r="1" spans="1:4" ht="15.6" x14ac:dyDescent="0.3">
      <c r="A1" s="15" t="s">
        <v>88</v>
      </c>
    </row>
    <row r="2" spans="1:4" x14ac:dyDescent="0.3">
      <c r="A2" t="s">
        <v>92</v>
      </c>
      <c r="B2" t="s">
        <v>89</v>
      </c>
      <c r="C2" t="s">
        <v>90</v>
      </c>
      <c r="D2" t="s">
        <v>91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Q47"/>
  <sheetViews>
    <sheetView topLeftCell="B1" workbookViewId="0">
      <selection activeCell="Q23" sqref="Q23"/>
    </sheetView>
  </sheetViews>
  <sheetFormatPr defaultRowHeight="14.4" x14ac:dyDescent="0.3"/>
  <cols>
    <col min="1" max="1" width="13.33203125" bestFit="1" customWidth="1"/>
    <col min="2" max="2" width="3" customWidth="1"/>
    <col min="3" max="3" width="20.109375" bestFit="1" customWidth="1"/>
    <col min="4" max="4" width="35.109375" style="8" bestFit="1" customWidth="1"/>
    <col min="6" max="6" width="15.33203125" bestFit="1" customWidth="1"/>
    <col min="7" max="7" width="23" customWidth="1"/>
    <col min="9" max="9" width="15.33203125" bestFit="1" customWidth="1"/>
    <col min="10" max="10" width="7.21875" bestFit="1" customWidth="1"/>
    <col min="14" max="14" width="6.109375" customWidth="1"/>
    <col min="15" max="15" width="13.33203125" bestFit="1" customWidth="1"/>
    <col min="16" max="16" width="3.109375" customWidth="1"/>
  </cols>
  <sheetData>
    <row r="1" spans="1:17" ht="17.399999999999999" x14ac:dyDescent="0.45">
      <c r="A1" s="2" t="str">
        <f ca="1">MID(CELL("filename",A1),FIND("]",CELL("filename",A1))+1,256)</f>
        <v>config_var</v>
      </c>
      <c r="C1" s="1"/>
      <c r="D1" s="7" t="str">
        <f ca="1">MID(CELL("filename",A1),FIND("]",CELL("filename",A1))+1,256)</f>
        <v>config_var</v>
      </c>
      <c r="I1" s="14"/>
      <c r="J1" s="14"/>
      <c r="K1" s="14"/>
      <c r="L1" s="14"/>
      <c r="M1" s="14"/>
      <c r="N1" s="14"/>
      <c r="O1" s="14"/>
    </row>
    <row r="2" spans="1:17" x14ac:dyDescent="0.3">
      <c r="C2" t="s">
        <v>0</v>
      </c>
      <c r="M2" s="6" t="s">
        <v>15</v>
      </c>
      <c r="O2" s="6" t="s">
        <v>75</v>
      </c>
      <c r="Q2" s="6" t="s">
        <v>84</v>
      </c>
    </row>
    <row r="3" spans="1:17" x14ac:dyDescent="0.3">
      <c r="B3" s="13"/>
      <c r="C3" s="3" t="s">
        <v>12</v>
      </c>
      <c r="D3" s="9" t="s">
        <v>1</v>
      </c>
      <c r="F3" s="3" t="s">
        <v>9</v>
      </c>
      <c r="G3" s="9" t="s">
        <v>49</v>
      </c>
      <c r="I3" s="3" t="s">
        <v>65</v>
      </c>
      <c r="J3" s="9" t="s">
        <v>66</v>
      </c>
      <c r="M3" s="5" t="s">
        <v>16</v>
      </c>
      <c r="O3" s="5" t="s">
        <v>76</v>
      </c>
      <c r="Q3" s="5" t="s">
        <v>85</v>
      </c>
    </row>
    <row r="4" spans="1:17" x14ac:dyDescent="0.3">
      <c r="B4" s="13"/>
      <c r="C4" s="1" t="s">
        <v>2</v>
      </c>
      <c r="D4" s="10" t="s">
        <v>14</v>
      </c>
      <c r="F4" s="1" t="s">
        <v>26</v>
      </c>
      <c r="G4" s="11" t="str">
        <f>D10</f>
        <v>Status_unit</v>
      </c>
      <c r="I4" s="1" t="s">
        <v>26</v>
      </c>
      <c r="J4" s="11" t="str">
        <f>D10</f>
        <v>Status_unit</v>
      </c>
      <c r="M4" s="5" t="s">
        <v>17</v>
      </c>
      <c r="O4" s="5" t="s">
        <v>77</v>
      </c>
      <c r="Q4" s="5" t="s">
        <v>19</v>
      </c>
    </row>
    <row r="5" spans="1:17" x14ac:dyDescent="0.3">
      <c r="B5" s="13"/>
      <c r="C5" s="1" t="s">
        <v>6</v>
      </c>
      <c r="D5" s="10" t="s">
        <v>13</v>
      </c>
      <c r="F5" s="1" t="s">
        <v>4</v>
      </c>
      <c r="G5" s="11" t="str">
        <f>D21</f>
        <v>A3</v>
      </c>
      <c r="I5" s="1" t="s">
        <v>4</v>
      </c>
      <c r="J5" s="11" t="str">
        <f>D21</f>
        <v>A3</v>
      </c>
      <c r="M5" s="5" t="s">
        <v>18</v>
      </c>
      <c r="O5" s="5" t="s">
        <v>78</v>
      </c>
      <c r="Q5" s="5"/>
    </row>
    <row r="6" spans="1:17" x14ac:dyDescent="0.3">
      <c r="B6" s="13"/>
      <c r="C6" s="1"/>
      <c r="F6" s="1" t="s">
        <v>29</v>
      </c>
      <c r="G6" s="10" t="s">
        <v>28</v>
      </c>
      <c r="I6" s="1" t="s">
        <v>72</v>
      </c>
      <c r="J6" s="10">
        <v>3</v>
      </c>
      <c r="M6" s="5" t="s">
        <v>19</v>
      </c>
      <c r="O6" s="5"/>
      <c r="Q6" s="5"/>
    </row>
    <row r="7" spans="1:17" x14ac:dyDescent="0.3">
      <c r="B7" s="13"/>
      <c r="C7" s="4"/>
      <c r="F7" s="1" t="s">
        <v>30</v>
      </c>
      <c r="G7" s="10" t="s">
        <v>87</v>
      </c>
      <c r="I7" s="1" t="s">
        <v>55</v>
      </c>
      <c r="J7" s="10" t="s">
        <v>16</v>
      </c>
      <c r="M7" s="5" t="s">
        <v>20</v>
      </c>
      <c r="O7" s="5"/>
      <c r="Q7" s="5"/>
    </row>
    <row r="8" spans="1:17" x14ac:dyDescent="0.3">
      <c r="B8" s="13"/>
      <c r="C8" s="3" t="s">
        <v>3</v>
      </c>
      <c r="D8" s="9" t="s">
        <v>37</v>
      </c>
      <c r="F8" s="1"/>
      <c r="G8" s="10"/>
      <c r="I8" s="1" t="s">
        <v>56</v>
      </c>
      <c r="J8" s="10" t="s">
        <v>22</v>
      </c>
      <c r="M8" s="5" t="s">
        <v>21</v>
      </c>
      <c r="O8" s="5"/>
      <c r="Q8" s="5"/>
    </row>
    <row r="9" spans="1:17" x14ac:dyDescent="0.3">
      <c r="B9" s="13"/>
      <c r="C9" s="1" t="s">
        <v>24</v>
      </c>
      <c r="D9" s="10" t="s">
        <v>25</v>
      </c>
      <c r="G9" s="8"/>
      <c r="I9" s="1" t="s">
        <v>57</v>
      </c>
      <c r="J9" s="10" t="s">
        <v>18</v>
      </c>
      <c r="M9" s="5" t="s">
        <v>22</v>
      </c>
      <c r="O9" s="5"/>
      <c r="Q9" s="5"/>
    </row>
    <row r="10" spans="1:17" x14ac:dyDescent="0.3">
      <c r="B10" s="13"/>
      <c r="C10" s="1" t="s">
        <v>26</v>
      </c>
      <c r="D10" s="10" t="s">
        <v>27</v>
      </c>
      <c r="F10" s="3" t="s">
        <v>10</v>
      </c>
      <c r="G10" s="9" t="s">
        <v>54</v>
      </c>
      <c r="I10" s="1" t="s">
        <v>67</v>
      </c>
      <c r="J10" s="8" t="s">
        <v>21</v>
      </c>
      <c r="M10" s="5" t="s">
        <v>23</v>
      </c>
      <c r="O10" s="5"/>
      <c r="Q10" s="5"/>
    </row>
    <row r="11" spans="1:17" x14ac:dyDescent="0.3">
      <c r="B11" s="13"/>
      <c r="C11" s="1" t="s">
        <v>38</v>
      </c>
      <c r="D11" s="10" t="s">
        <v>40</v>
      </c>
      <c r="F11" s="1" t="s">
        <v>26</v>
      </c>
      <c r="G11" s="11" t="str">
        <f>D15</f>
        <v>Status_unit</v>
      </c>
      <c r="I11" s="1" t="s">
        <v>68</v>
      </c>
      <c r="J11" s="10">
        <v>5</v>
      </c>
      <c r="M11" s="5"/>
      <c r="O11" s="5"/>
      <c r="Q11" s="5"/>
    </row>
    <row r="12" spans="1:17" x14ac:dyDescent="0.3">
      <c r="B12" s="13"/>
      <c r="C12" s="1" t="s">
        <v>39</v>
      </c>
      <c r="D12" s="10" t="s">
        <v>41</v>
      </c>
      <c r="F12" s="1" t="s">
        <v>4</v>
      </c>
      <c r="G12" s="11" t="str">
        <f>D21</f>
        <v>A3</v>
      </c>
      <c r="I12" s="1" t="s">
        <v>69</v>
      </c>
      <c r="J12" s="10">
        <v>7</v>
      </c>
      <c r="M12" s="5"/>
      <c r="O12" s="5"/>
      <c r="Q12" s="5"/>
    </row>
    <row r="13" spans="1:17" x14ac:dyDescent="0.3">
      <c r="B13" s="13"/>
      <c r="F13" s="1" t="s">
        <v>31</v>
      </c>
      <c r="G13" s="10" t="s">
        <v>32</v>
      </c>
      <c r="I13" s="1" t="s">
        <v>70</v>
      </c>
      <c r="J13" s="10">
        <v>6</v>
      </c>
      <c r="M13" s="5"/>
      <c r="O13" s="5"/>
      <c r="Q13" s="5"/>
    </row>
    <row r="14" spans="1:17" x14ac:dyDescent="0.3">
      <c r="B14" s="13"/>
      <c r="C14" s="3" t="s">
        <v>43</v>
      </c>
      <c r="D14" s="9" t="s">
        <v>44</v>
      </c>
      <c r="F14" s="1" t="s">
        <v>50</v>
      </c>
      <c r="G14" s="10">
        <v>2</v>
      </c>
      <c r="I14" s="1" t="s">
        <v>71</v>
      </c>
      <c r="J14" s="10">
        <v>6</v>
      </c>
      <c r="M14" s="5"/>
      <c r="O14" s="5"/>
      <c r="Q14" s="5"/>
    </row>
    <row r="15" spans="1:17" x14ac:dyDescent="0.3">
      <c r="B15" s="13"/>
      <c r="C15" s="1" t="s">
        <v>26</v>
      </c>
      <c r="D15" s="11" t="str">
        <f>D10</f>
        <v>Status_unit</v>
      </c>
      <c r="F15" s="1" t="s">
        <v>51</v>
      </c>
      <c r="G15" s="10" t="s">
        <v>52</v>
      </c>
      <c r="M15" s="5"/>
      <c r="O15" s="5"/>
    </row>
    <row r="16" spans="1:17" x14ac:dyDescent="0.3">
      <c r="B16" s="13"/>
      <c r="C16" s="1" t="s">
        <v>42</v>
      </c>
      <c r="D16" s="10">
        <v>7</v>
      </c>
      <c r="G16" s="8"/>
      <c r="I16" s="3" t="s">
        <v>73</v>
      </c>
      <c r="J16" s="9" t="s">
        <v>74</v>
      </c>
      <c r="M16" s="5"/>
      <c r="O16" s="5"/>
    </row>
    <row r="17" spans="2:15" x14ac:dyDescent="0.3">
      <c r="B17" s="13"/>
      <c r="C17" s="1"/>
      <c r="D17" s="10"/>
      <c r="G17" s="8"/>
      <c r="I17" s="1" t="s">
        <v>26</v>
      </c>
      <c r="J17" s="11" t="str">
        <f>D10</f>
        <v>Status_unit</v>
      </c>
      <c r="M17" s="5"/>
      <c r="O17" s="5"/>
    </row>
    <row r="18" spans="2:15" x14ac:dyDescent="0.3">
      <c r="B18" s="13"/>
      <c r="C18" s="1"/>
      <c r="D18" s="10"/>
      <c r="F18" s="3" t="s">
        <v>11</v>
      </c>
      <c r="G18" s="9" t="s">
        <v>53</v>
      </c>
      <c r="I18" s="1" t="s">
        <v>4</v>
      </c>
      <c r="J18" s="11" t="str">
        <f>D21</f>
        <v>A3</v>
      </c>
      <c r="M18" s="5"/>
      <c r="O18" s="5"/>
    </row>
    <row r="19" spans="2:15" x14ac:dyDescent="0.3">
      <c r="B19" s="13"/>
      <c r="C19" s="3" t="s">
        <v>7</v>
      </c>
      <c r="D19" s="9" t="s">
        <v>45</v>
      </c>
      <c r="F19" s="1" t="s">
        <v>26</v>
      </c>
      <c r="G19" s="11" t="str">
        <f>D10</f>
        <v>Status_unit</v>
      </c>
      <c r="I19" s="1" t="s">
        <v>79</v>
      </c>
      <c r="J19" s="12" t="str">
        <f>ADDRESS(ROW(O3),COLUMN(O3),4)</f>
        <v>O3</v>
      </c>
      <c r="M19" s="5"/>
      <c r="O19" s="5"/>
    </row>
    <row r="20" spans="2:15" x14ac:dyDescent="0.3">
      <c r="B20" s="13"/>
      <c r="C20" s="1" t="s">
        <v>26</v>
      </c>
      <c r="D20" s="11" t="str">
        <f>D10</f>
        <v>Status_unit</v>
      </c>
      <c r="F20" s="1" t="s">
        <v>4</v>
      </c>
      <c r="G20" s="11" t="str">
        <f>D21</f>
        <v>A3</v>
      </c>
      <c r="I20" s="1" t="s">
        <v>80</v>
      </c>
      <c r="J20" s="10" t="s">
        <v>33</v>
      </c>
      <c r="M20" s="5"/>
      <c r="O20" s="5"/>
    </row>
    <row r="21" spans="2:15" x14ac:dyDescent="0.3">
      <c r="B21" s="13"/>
      <c r="C21" s="1" t="s">
        <v>4</v>
      </c>
      <c r="D21" s="10" t="s">
        <v>5</v>
      </c>
      <c r="F21" s="1" t="s">
        <v>50</v>
      </c>
      <c r="G21" s="10">
        <v>1</v>
      </c>
      <c r="I21" s="1" t="s">
        <v>81</v>
      </c>
      <c r="J21" s="10" t="s">
        <v>58</v>
      </c>
      <c r="M21" s="5"/>
      <c r="O21" s="5"/>
    </row>
    <row r="22" spans="2:15" x14ac:dyDescent="0.3">
      <c r="B22" s="13"/>
      <c r="C22" s="1" t="s">
        <v>46</v>
      </c>
      <c r="D22" s="10">
        <v>750</v>
      </c>
      <c r="F22" s="1" t="s">
        <v>55</v>
      </c>
      <c r="G22" s="10" t="s">
        <v>58</v>
      </c>
    </row>
    <row r="23" spans="2:15" x14ac:dyDescent="0.3">
      <c r="B23" s="13"/>
      <c r="C23" s="1"/>
      <c r="D23" s="10"/>
      <c r="F23" s="1" t="s">
        <v>56</v>
      </c>
      <c r="G23" s="10" t="s">
        <v>33</v>
      </c>
    </row>
    <row r="24" spans="2:15" x14ac:dyDescent="0.3">
      <c r="B24" s="13"/>
      <c r="C24" s="1"/>
      <c r="D24" s="10"/>
      <c r="F24" s="1" t="s">
        <v>57</v>
      </c>
      <c r="G24" s="10" t="s">
        <v>59</v>
      </c>
      <c r="I24" s="3" t="s">
        <v>82</v>
      </c>
      <c r="J24" s="9" t="s">
        <v>83</v>
      </c>
    </row>
    <row r="25" spans="2:15" x14ac:dyDescent="0.3">
      <c r="B25" s="13"/>
      <c r="D25" s="10"/>
      <c r="F25" s="1" t="s">
        <v>61</v>
      </c>
      <c r="G25" s="10" t="s">
        <v>62</v>
      </c>
      <c r="I25" s="1" t="s">
        <v>26</v>
      </c>
      <c r="J25" s="11" t="s">
        <v>27</v>
      </c>
    </row>
    <row r="26" spans="2:15" x14ac:dyDescent="0.3">
      <c r="B26" s="13"/>
      <c r="C26" s="3" t="s">
        <v>8</v>
      </c>
      <c r="D26" s="9" t="s">
        <v>47</v>
      </c>
      <c r="F26" s="1" t="s">
        <v>60</v>
      </c>
      <c r="G26" s="10" t="s">
        <v>35</v>
      </c>
      <c r="I26" s="1" t="s">
        <v>4</v>
      </c>
      <c r="J26" s="11" t="s">
        <v>5</v>
      </c>
    </row>
    <row r="27" spans="2:15" x14ac:dyDescent="0.3">
      <c r="B27" s="13"/>
      <c r="C27" s="1" t="s">
        <v>26</v>
      </c>
      <c r="D27" s="11" t="str">
        <f>D10</f>
        <v>Status_unit</v>
      </c>
      <c r="F27" s="1" t="s">
        <v>63</v>
      </c>
      <c r="G27" s="10" t="s">
        <v>34</v>
      </c>
      <c r="I27" s="1" t="s">
        <v>86</v>
      </c>
      <c r="J27" s="10" t="str">
        <f>ADDRESS(ROW(Q3),COLUMN(Q3),4)</f>
        <v>Q3</v>
      </c>
    </row>
    <row r="28" spans="2:15" x14ac:dyDescent="0.3">
      <c r="B28" s="13"/>
      <c r="C28" s="1" t="s">
        <v>4</v>
      </c>
      <c r="D28" s="11" t="str">
        <f>D21</f>
        <v>A3</v>
      </c>
      <c r="F28" s="1" t="s">
        <v>64</v>
      </c>
      <c r="G28" s="10" t="s">
        <v>36</v>
      </c>
      <c r="I28" s="1"/>
      <c r="J28" s="10"/>
    </row>
    <row r="29" spans="2:15" x14ac:dyDescent="0.3">
      <c r="B29" s="13"/>
      <c r="C29" s="1" t="s">
        <v>48</v>
      </c>
      <c r="D29" s="10" t="str">
        <f>ADDRESS(ROW(M3),COLUMN(M3),4)</f>
        <v>M3</v>
      </c>
    </row>
    <row r="30" spans="2:15" x14ac:dyDescent="0.3">
      <c r="C30" s="1"/>
      <c r="D30" s="10"/>
    </row>
    <row r="31" spans="2:15" x14ac:dyDescent="0.3">
      <c r="C31" s="1"/>
      <c r="D31" s="10"/>
    </row>
    <row r="37" spans="3:3" x14ac:dyDescent="0.3">
      <c r="C37" s="1"/>
    </row>
    <row r="38" spans="3:3" x14ac:dyDescent="0.3">
      <c r="C38" s="1"/>
    </row>
    <row r="39" spans="3:3" x14ac:dyDescent="0.3">
      <c r="C39" s="1"/>
    </row>
    <row r="40" spans="3:3" x14ac:dyDescent="0.3">
      <c r="C40" s="1"/>
    </row>
    <row r="41" spans="3:3" x14ac:dyDescent="0.3">
      <c r="C41" s="1"/>
    </row>
    <row r="42" spans="3:3" x14ac:dyDescent="0.3">
      <c r="C42" s="1"/>
    </row>
    <row r="43" spans="3:3" x14ac:dyDescent="0.3">
      <c r="C43" s="1"/>
    </row>
    <row r="44" spans="3:3" x14ac:dyDescent="0.3">
      <c r="C44" s="1"/>
    </row>
    <row r="45" spans="3:3" x14ac:dyDescent="0.3">
      <c r="C45" s="1"/>
    </row>
    <row r="46" spans="3:3" x14ac:dyDescent="0.3">
      <c r="C46" s="1"/>
    </row>
    <row r="47" spans="3:3" x14ac:dyDescent="0.3">
      <c r="C47" s="1"/>
    </row>
  </sheetData>
  <pageMargins left="0.7" right="0.7" top="0.75" bottom="0.75" header="0.3" footer="0.3"/>
  <pageSetup paperSize="9" scale="5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config_var</vt:lpstr>
    </vt:vector>
  </TitlesOfParts>
  <Company>Hewlett 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 Armengod Ramon</dc:creator>
  <cp:lastModifiedBy>Josep Armengod Ramon</cp:lastModifiedBy>
  <cp:lastPrinted>2016-10-17T09:44:58Z</cp:lastPrinted>
  <dcterms:created xsi:type="dcterms:W3CDTF">2016-07-15T09:56:21Z</dcterms:created>
  <dcterms:modified xsi:type="dcterms:W3CDTF">2016-11-18T07:49:25Z</dcterms:modified>
</cp:coreProperties>
</file>